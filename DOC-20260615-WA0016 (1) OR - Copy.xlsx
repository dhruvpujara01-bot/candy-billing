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 BALL\Downloads\"/>
    </mc:Choice>
  </mc:AlternateContent>
  <xr:revisionPtr revIDLastSave="0" documentId="13_ncr:1_{114504F5-EC08-4FDB-A6EF-B52EB93589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📄 ઇન્વોઇસ" sheetId="1" r:id="rId1"/>
    <sheet name="📥 ઓર્ડર એન્ટ્ર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2" i="1" s="1"/>
  <c r="D12" i="1" a="1"/>
  <c r="D12" i="1" s="1"/>
  <c r="C12" i="1" a="1"/>
  <c r="C12" i="1" s="1"/>
  <c r="E31" i="1"/>
  <c r="A31" i="1"/>
  <c r="A16" i="1" l="1"/>
  <c r="A24" i="1"/>
  <c r="E16" i="1"/>
  <c r="E24" i="1"/>
  <c r="A17" i="1"/>
  <c r="A25" i="1"/>
  <c r="E17" i="1"/>
  <c r="E25" i="1"/>
  <c r="A18" i="1"/>
  <c r="A26" i="1"/>
  <c r="E18" i="1"/>
  <c r="E26" i="1"/>
  <c r="A19" i="1"/>
  <c r="A27" i="1"/>
  <c r="E19" i="1"/>
  <c r="E27" i="1"/>
  <c r="A20" i="1"/>
  <c r="A28" i="1"/>
  <c r="E20" i="1"/>
  <c r="E28" i="1"/>
  <c r="A21" i="1"/>
  <c r="A29" i="1"/>
  <c r="E21" i="1"/>
  <c r="E29" i="1"/>
  <c r="A22" i="1"/>
  <c r="A30" i="1"/>
  <c r="E22" i="1"/>
  <c r="E30" i="1"/>
  <c r="A15" i="1"/>
  <c r="A23" i="1"/>
  <c r="E15" i="1"/>
  <c r="E23" i="1"/>
  <c r="A13" i="1"/>
  <c r="E12" i="1"/>
  <c r="E14" i="1"/>
  <c r="E13" i="1"/>
  <c r="A14" i="1"/>
  <c r="E3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<sst xmlns="http://schemas.openxmlformats.org/spreadsheetml/2006/main" count="32" uniqueCount="32">
  <si>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CHUSKI LIVE CANDY</t>
  </si>
  <si>
    <t>Pure Joy in Every Frozen Bite!</t>
  </si>
  <si>
    <t>INVOICE</t>
  </si>
  <si>
    <t>Sr. No.</t>
  </si>
  <si>
    <t>Item Description</t>
  </si>
  <si>
    <t>Qty (Pcs)</t>
  </si>
  <si>
    <t>Rate (INR)</t>
  </si>
  <si>
    <t>Total (INR)</t>
  </si>
  <si>
    <t>Grand Total:</t>
  </si>
  <si>
    <t>📥 ઓર્ડર એન્ટ્રી લિસ્ટ (અહીં માત્ર કોન્ટીટી નાખો)</t>
  </si>
  <si>
    <t>Flavor Name</t>
  </si>
  <si>
    <t>Price</t>
  </si>
  <si>
    <t>Enter Qty</t>
  </si>
  <si>
    <t>Orange Ice Candy</t>
  </si>
  <si>
    <t>Kala Khatta Ice Candy</t>
  </si>
  <si>
    <t>Kachi Keri Ice Candy</t>
  </si>
  <si>
    <t>Jamfal Ice Candy</t>
  </si>
  <si>
    <t>Blueberi Ice Candy</t>
  </si>
  <si>
    <t>Choko Moko Ice Candy</t>
  </si>
  <si>
    <t>Rajbhog Ice Candy</t>
  </si>
  <si>
    <t>Sp. Mava Rabdi Ice Candy</t>
  </si>
  <si>
    <t>Sp. Kunafa Ice Candy</t>
  </si>
  <si>
    <t>American Ice Candy</t>
  </si>
  <si>
    <t>Pan Ice Candy</t>
  </si>
  <si>
    <t>Rose Gulkand Ice Candy</t>
  </si>
  <si>
    <t>Chiku Ice Candy</t>
  </si>
  <si>
    <t>Topra Ice Candy</t>
  </si>
  <si>
    <t>Dudh Khajur Ice Candy</t>
  </si>
  <si>
    <t>Jambu Ice Candy</t>
  </si>
  <si>
    <t>Mava Pista Ice Candy</t>
  </si>
  <si>
    <t>Pineapple Ice Candy</t>
  </si>
  <si>
    <t>Real Mango Ice 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</si>
</sst>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0" x14ac:knownFonts="1">
    <font>
      <sz val="11"/>
      <color rgb="FF000000"/>
      <name val="Calibri"/>
      <scheme val="minor"/>
    </font>
    <font>
      <b/>
      <sz val="18"/>
      <color rgb="FFFFFFFF"/>
      <name val="Quattrocento Sans"/>
    </font>
    <font>
      <sz val="11"/>
      <name val="Calibri"/>
      <family val="2"/>
    </font>
    <font>
      <i/>
      <sz val="10"/>
      <color rgb="FFFFFFFF"/>
      <name val="Quattrocento Sans"/>
    </font>
    <font>
      <b/>
      <sz val="20"/>
      <color rgb="FFFFFFFF"/>
      <name val="Quattrocento Sans"/>
    </font>
    <font>
      <b/>
      <sz val="11"/>
      <color rgb="FFFFFFFF"/>
      <name val="Quattrocento Sans"/>
    </font>
    <font>
      <sz val="11"/>
      <color rgb="FF2C3E50"/>
      <name val="Quattrocento Sans"/>
    </font>
    <font>
      <sz val="11"/>
      <name val="Calibri"/>
      <family val="2"/>
    </font>
    <font>
      <b/>
      <sz val="11"/>
      <color rgb="FF2C3E50"/>
      <name val="Quattrocento Sans"/>
    </font>
    <font>
      <b/>
      <sz val="12"/>
      <color rgb="FF008080"/>
      <name val="Quattrocento Sans"/>
    </font>
  </fonts>
  <fills count="6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F0F9F9"/>
        <bgColor rgb="FFF0F9F9"/>
      </patternFill>
    </fill>
    <fill>
      <patternFill patternType="solid">
        <fgColor rgb="FF104E5B"/>
        <bgColor rgb="FF104E5B"/>
      </patternFill>
    </fill>
    <fill>
      <patternFill patternType="solid">
        <fgColor rgb="FFFFFBEB"/>
        <bgColor rgb="FFFFFBEB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E8E8"/>
      </left>
      <right style="thin">
        <color rgb="FFD1E8E8"/>
      </right>
      <top style="thin">
        <color rgb="FFD1E8E8"/>
      </top>
      <bottom style="thin">
        <color rgb="FFD1E8E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3" fontId="7" fillId="0" borderId="4" xfId="0" applyNumberFormat="1" applyFont="1" applyBorder="1" applyAlignment="1">
      <alignment horizontal="right"/>
    </xf>
    <xf numFmtId="4" fontId="7" fillId="0" borderId="4" xfId="0" applyNumberFormat="1" applyFont="1" applyBorder="1" applyAlignment="1">
      <alignment horizontal="right"/>
    </xf>
    <xf numFmtId="4" fontId="8" fillId="0" borderId="4" xfId="0" applyNumberFormat="1" applyFont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3" borderId="4" xfId="0" applyFont="1" applyFill="1" applyBorder="1"/>
    <xf numFmtId="3" fontId="7" fillId="3" borderId="4" xfId="0" applyNumberFormat="1" applyFont="1" applyFill="1" applyBorder="1" applyAlignment="1">
      <alignment horizontal="right"/>
    </xf>
    <xf numFmtId="4" fontId="7" fillId="3" borderId="4" xfId="0" applyNumberFormat="1" applyFont="1" applyFill="1" applyBorder="1" applyAlignment="1">
      <alignment horizontal="right"/>
    </xf>
    <xf numFmtId="4" fontId="8" fillId="3" borderId="4" xfId="0" applyNumberFormat="1" applyFont="1" applyFill="1" applyBorder="1" applyAlignment="1">
      <alignment horizontal="right"/>
    </xf>
    <xf numFmtId="0" fontId="8" fillId="0" borderId="0" xfId="0" applyFont="1"/>
    <xf numFmtId="164" fontId="9" fillId="0" borderId="0" xfId="0" applyNumberFormat="1" applyFont="1"/>
    <xf numFmtId="0" fontId="5" fillId="4" borderId="3" xfId="0" applyFont="1" applyFill="1" applyBorder="1"/>
    <xf numFmtId="0" fontId="6" fillId="0" borderId="4" xfId="0" applyFont="1" applyBorder="1"/>
    <xf numFmtId="4" fontId="6" fillId="0" borderId="4" xfId="0" applyNumberFormat="1" applyFont="1" applyBorder="1"/>
    <xf numFmtId="3" fontId="8" fillId="5" borderId="4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opLeftCell="A3" workbookViewId="0">
      <selection activeCell="D33" sqref="D33"/>
    </sheetView>
  </sheetViews>
  <sheetFormatPr defaultColWidth="14.42578125" defaultRowHeight="15" customHeight="1" x14ac:dyDescent="0.25"/>
  <cols>
    <col min="1" max="1" width="9.5703125" bestFit="1" customWidth="1"/>
    <col min="2" max="2" width="32" customWidth="1"/>
    <col min="3" max="3" width="12" customWidth="1"/>
    <col min="4" max="4" width="14" customWidth="1"/>
    <col min="5" max="5" width="15" customWidth="1"/>
    <col min="6" max="6" width="8.7109375" customWidth="1"/>
  </cols>
  <sheetData>
    <row r="1" spans="1:5" ht="23.25" x14ac:dyDescent="0.25">
      <c r="A1" s="22" t="s">
        <v>0</v>
      </c>
      <c r="B1" s="21"/>
      <c r="C1" s="21"/>
      <c r="D1" s="21"/>
      <c r="E1" s="21"/>
    </row>
    <row r="2" spans="1:5" x14ac:dyDescent="0.25">
      <c r="A2" s="20" t="s">
        <v>1</v>
      </c>
      <c r="B2" s="21"/>
      <c r="C2" s="21"/>
      <c r="D2" s="21"/>
      <c r="E2" s="21"/>
    </row>
    <row r="3" spans="1:5" ht="26.25" x14ac:dyDescent="0.25">
      <c r="A3" s="23" t="s">
        <v>2</v>
      </c>
      <c r="B3" s="21"/>
      <c r="C3" s="21"/>
      <c r="D3" s="21"/>
      <c r="E3" s="21"/>
    </row>
    <row r="11" spans="1:5" x14ac:dyDescent="0.25">
      <c r="A11" s="1" t="s">
        <v>3</v>
      </c>
      <c r="B11" s="2" t="s">
        <v>4</v>
      </c>
      <c r="C11" s="3" t="s">
        <v>5</v>
      </c>
      <c r="D11" s="3" t="s">
        <v>6</v>
      </c>
      <c r="E11" s="3" t="s">
        <v>7</v>
      </c>
    </row>
    <row r="12" spans="1:5" x14ac:dyDescent="0.25">
      <c r="A12" s="4">
        <v>1</v>
      </c>
      <c r="B12" s="5" t="str" cm="1">
        <f t="array" ref="B12:B15">_xlfn._xlws.FILTER('📥 ઓર્ડર એન્ટ્રી'!A12:A30,'📥 ઓર્ડર એન્ટ્રી'!C12:C30&gt;0,"")</f>
        <v>Orange Ice Candy</v>
      </c>
      <c r="C12" s="6" cm="1">
        <f t="array" ref="C12:C15">_xlfn._xlws.FILTER('📥 ઓર્ડર એન્ટ્રી'!C12:C30,('📥 ઓર્ડર એન્ટ્રી'!C12:C30&lt;&gt;"")*('📥 ઓર્ડર એન્ટ્રી'!C12:C30&gt;0),"")</f>
        <v>50</v>
      </c>
      <c r="D12" s="7" cm="1">
        <f t="array" ref="D12:D15">_xlfn._xlws.FILTER('📥 ઓર્ડર એન્ટ્રી'!B12:B30,('📥 ઓર્ડર એન્ટ્રી'!C12:C30&lt;&gt;"")*('📥 ઓર્ડર એન્ટ્રી'!C12:C30&gt;0),"")</f>
        <v>5</v>
      </c>
      <c r="E12" s="8">
        <f t="shared" ref="E12:E31" si="0">IF(B12="",0,C12*D12)</f>
        <v>250</v>
      </c>
    </row>
    <row r="13" spans="1:5" x14ac:dyDescent="0.25">
      <c r="A13" s="9">
        <f t="shared" ref="A12:A31" si="1">IF(B13&lt;&gt;"", COUNTA($B$12:B13), "")</f>
        <v>2</v>
      </c>
      <c r="B13" s="10" t="str">
        <v>Sp. Mava Rabdi Ice Candy</v>
      </c>
      <c r="C13" s="11">
        <v>50</v>
      </c>
      <c r="D13" s="12">
        <v>30</v>
      </c>
      <c r="E13" s="13">
        <f t="shared" si="0"/>
        <v>1500</v>
      </c>
    </row>
    <row r="14" spans="1:5" x14ac:dyDescent="0.25">
      <c r="A14" s="4">
        <f t="shared" si="1"/>
        <v>3</v>
      </c>
      <c r="B14" s="5" t="str">
        <v>Rose Gulkand Ice Candy</v>
      </c>
      <c r="C14" s="6">
        <v>555</v>
      </c>
      <c r="D14" s="7">
        <v>20</v>
      </c>
      <c r="E14" s="8">
        <f t="shared" si="0"/>
        <v>11100</v>
      </c>
    </row>
    <row r="15" spans="1:5" x14ac:dyDescent="0.25">
      <c r="A15" s="9">
        <f t="shared" si="1"/>
        <v>4</v>
      </c>
      <c r="B15" s="10" t="str">
        <v>Topra Ice Candy</v>
      </c>
      <c r="C15" s="11">
        <v>41</v>
      </c>
      <c r="D15" s="12">
        <v>20</v>
      </c>
      <c r="E15" s="13">
        <f t="shared" si="0"/>
        <v>820</v>
      </c>
    </row>
    <row r="16" spans="1:5" x14ac:dyDescent="0.25">
      <c r="A16" s="4" t="str">
        <f t="shared" si="1"/>
        <v/>
      </c>
      <c r="B16" s="5"/>
      <c r="C16" s="6"/>
      <c r="D16" s="7"/>
      <c r="E16" s="8">
        <f t="shared" si="0"/>
        <v>0</v>
      </c>
    </row>
    <row r="17" spans="1:5" x14ac:dyDescent="0.25">
      <c r="A17" s="9" t="str">
        <f t="shared" si="1"/>
        <v/>
      </c>
      <c r="B17" s="10"/>
      <c r="C17" s="11"/>
      <c r="D17" s="12"/>
      <c r="E17" s="13">
        <f t="shared" si="0"/>
        <v>0</v>
      </c>
    </row>
    <row r="18" spans="1:5" x14ac:dyDescent="0.25">
      <c r="A18" s="4" t="str">
        <f t="shared" si="1"/>
        <v/>
      </c>
      <c r="B18" s="5"/>
      <c r="C18" s="6"/>
      <c r="D18" s="7"/>
      <c r="E18" s="8">
        <f t="shared" si="0"/>
        <v>0</v>
      </c>
    </row>
    <row r="19" spans="1:5" x14ac:dyDescent="0.25">
      <c r="A19" s="9" t="str">
        <f t="shared" si="1"/>
        <v/>
      </c>
      <c r="B19" s="10"/>
      <c r="C19" s="11"/>
      <c r="D19" s="12"/>
      <c r="E19" s="13">
        <f t="shared" si="0"/>
        <v>0</v>
      </c>
    </row>
    <row r="20" spans="1:5" x14ac:dyDescent="0.25">
      <c r="A20" s="4" t="str">
        <f t="shared" si="1"/>
        <v/>
      </c>
      <c r="B20" s="5"/>
      <c r="C20" s="6"/>
      <c r="D20" s="7"/>
      <c r="E20" s="8">
        <f t="shared" si="0"/>
        <v>0</v>
      </c>
    </row>
    <row r="21" spans="1:5" ht="15.75" customHeight="1" x14ac:dyDescent="0.25">
      <c r="A21" s="9" t="str">
        <f t="shared" si="1"/>
        <v/>
      </c>
      <c r="B21" s="10"/>
      <c r="C21" s="11"/>
      <c r="D21" s="12"/>
      <c r="E21" s="13">
        <f t="shared" si="0"/>
        <v>0</v>
      </c>
    </row>
    <row r="22" spans="1:5" ht="15.75" customHeight="1" x14ac:dyDescent="0.25">
      <c r="A22" s="4" t="str">
        <f t="shared" si="1"/>
        <v/>
      </c>
      <c r="B22" s="5"/>
      <c r="C22" s="6"/>
      <c r="D22" s="7"/>
      <c r="E22" s="8">
        <f t="shared" si="0"/>
        <v>0</v>
      </c>
    </row>
    <row r="23" spans="1:5" ht="15.75" customHeight="1" x14ac:dyDescent="0.25">
      <c r="A23" s="9" t="str">
        <f t="shared" si="1"/>
        <v/>
      </c>
      <c r="B23" s="10"/>
      <c r="C23" s="11"/>
      <c r="D23" s="12"/>
      <c r="E23" s="13">
        <f t="shared" si="0"/>
        <v>0</v>
      </c>
    </row>
    <row r="24" spans="1:5" ht="15.75" customHeight="1" x14ac:dyDescent="0.25">
      <c r="A24" s="4" t="str">
        <f t="shared" si="1"/>
        <v/>
      </c>
      <c r="B24" s="5"/>
      <c r="C24" s="6"/>
      <c r="D24" s="7"/>
      <c r="E24" s="8">
        <f t="shared" si="0"/>
        <v>0</v>
      </c>
    </row>
    <row r="25" spans="1:5" ht="15.75" customHeight="1" x14ac:dyDescent="0.25">
      <c r="A25" s="9" t="str">
        <f t="shared" si="1"/>
        <v/>
      </c>
      <c r="B25" s="10"/>
      <c r="C25" s="11"/>
      <c r="D25" s="12"/>
      <c r="E25" s="13">
        <f t="shared" si="0"/>
        <v>0</v>
      </c>
    </row>
    <row r="26" spans="1:5" ht="15.75" customHeight="1" x14ac:dyDescent="0.25">
      <c r="A26" s="4" t="str">
        <f t="shared" si="1"/>
        <v/>
      </c>
      <c r="B26" s="5"/>
      <c r="C26" s="6"/>
      <c r="D26" s="7"/>
      <c r="E26" s="8">
        <f t="shared" si="0"/>
        <v>0</v>
      </c>
    </row>
    <row r="27" spans="1:5" ht="15.75" customHeight="1" x14ac:dyDescent="0.25">
      <c r="A27" s="9" t="str">
        <f t="shared" si="1"/>
        <v/>
      </c>
      <c r="B27" s="10"/>
      <c r="C27" s="11"/>
      <c r="D27" s="12"/>
      <c r="E27" s="13">
        <f t="shared" si="0"/>
        <v>0</v>
      </c>
    </row>
    <row r="28" spans="1:5" ht="15.75" customHeight="1" x14ac:dyDescent="0.25">
      <c r="A28" s="4" t="str">
        <f t="shared" si="1"/>
        <v/>
      </c>
      <c r="B28" s="5"/>
      <c r="C28" s="6"/>
      <c r="D28" s="7"/>
      <c r="E28" s="8">
        <f t="shared" si="0"/>
        <v>0</v>
      </c>
    </row>
    <row r="29" spans="1:5" ht="15.75" customHeight="1" x14ac:dyDescent="0.25">
      <c r="A29" s="9" t="str">
        <f t="shared" si="1"/>
        <v/>
      </c>
      <c r="B29" s="10"/>
      <c r="C29" s="11"/>
      <c r="D29" s="12"/>
      <c r="E29" s="13">
        <f t="shared" si="0"/>
        <v>0</v>
      </c>
    </row>
    <row r="30" spans="1:5" ht="15.75" customHeight="1" x14ac:dyDescent="0.25">
      <c r="A30" s="4" t="str">
        <f t="shared" si="1"/>
        <v/>
      </c>
      <c r="B30" s="5"/>
      <c r="C30" s="6"/>
      <c r="D30" s="7"/>
      <c r="E30" s="8">
        <f t="shared" si="0"/>
        <v>0</v>
      </c>
    </row>
    <row r="31" spans="1:5" ht="15.75" customHeight="1" x14ac:dyDescent="0.25">
      <c r="A31" s="9" t="str">
        <f t="shared" si="1"/>
        <v/>
      </c>
      <c r="B31" s="10"/>
      <c r="C31" s="11"/>
      <c r="D31" s="12"/>
      <c r="E31" s="13">
        <f t="shared" si="0"/>
        <v>0</v>
      </c>
    </row>
    <row r="32" spans="1:5" ht="15.75" customHeight="1" x14ac:dyDescent="0.25"/>
    <row r="33" spans="4:5" ht="15.75" customHeight="1" x14ac:dyDescent="0.25">
      <c r="D33" s="14" t="s">
        <v>8</v>
      </c>
      <c r="E33" s="15">
        <f>SUM(E12:E31)</f>
        <v>13670</v>
      </c>
    </row>
    <row r="34" spans="4:5" ht="15.75" customHeight="1" x14ac:dyDescent="0.25"/>
    <row r="35" spans="4:5" ht="15.75" customHeight="1" x14ac:dyDescent="0.25"/>
    <row r="36" spans="4:5" ht="15.75" customHeight="1" x14ac:dyDescent="0.25"/>
    <row r="37" spans="4:5" ht="15.75" customHeight="1" x14ac:dyDescent="0.25"/>
    <row r="38" spans="4:5" ht="15.75" customHeight="1" x14ac:dyDescent="0.25"/>
    <row r="39" spans="4:5" ht="15.75" customHeight="1" x14ac:dyDescent="0.25"/>
    <row r="40" spans="4:5" ht="15.75" customHeight="1" x14ac:dyDescent="0.25"/>
    <row r="41" spans="4:5" ht="15.75" customHeight="1" x14ac:dyDescent="0.25"/>
    <row r="42" spans="4:5" ht="15.75" customHeight="1" x14ac:dyDescent="0.25"/>
    <row r="43" spans="4:5" ht="15.75" customHeight="1" x14ac:dyDescent="0.25"/>
    <row r="44" spans="4:5" ht="15.75" customHeight="1" x14ac:dyDescent="0.25"/>
    <row r="45" spans="4:5" ht="15.75" customHeight="1" x14ac:dyDescent="0.25"/>
    <row r="46" spans="4:5" ht="15.75" customHeight="1" x14ac:dyDescent="0.25"/>
    <row r="47" spans="4:5" ht="15.75" customHeight="1" x14ac:dyDescent="0.25"/>
    <row r="48" spans="4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3">
    <mergeCell ref="A2:E2"/>
    <mergeCell ref="A1:E1"/>
    <mergeCell ref="A3:E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C100"/>
  <sheetViews>
    <sheetView tabSelected="1" workbookViewId="0">
      <selection activeCell="F24" sqref="F24"/>
    </sheetView>
  </sheetViews>
  <sheetFormatPr defaultColWidth="14.42578125" defaultRowHeight="15" customHeight="1" x14ac:dyDescent="0.25"/>
  <cols>
    <col min="1" max="1" width="32" customWidth="1"/>
    <col min="2" max="2" width="12" customWidth="1"/>
    <col min="3" max="3" width="14" customWidth="1"/>
    <col min="4" max="6" width="8.7109375" customWidth="1"/>
  </cols>
  <sheetData>
    <row r="10" spans="1:3" x14ac:dyDescent="0.25">
      <c r="A10" s="24" t="s">
        <v>9</v>
      </c>
      <c r="B10" s="21"/>
      <c r="C10" s="21"/>
    </row>
    <row r="11" spans="1:3" x14ac:dyDescent="0.25">
      <c r="A11" s="16" t="s">
        <v>10</v>
      </c>
      <c r="B11" s="16" t="s">
        <v>11</v>
      </c>
      <c r="C11" s="16" t="s">
        <v>12</v>
      </c>
    </row>
    <row r="12" spans="1:3" x14ac:dyDescent="0.25">
      <c r="A12" s="17" t="s">
        <v>13</v>
      </c>
      <c r="B12" s="18">
        <v>5</v>
      </c>
      <c r="C12" s="19">
        <v>50</v>
      </c>
    </row>
    <row r="13" spans="1:3" x14ac:dyDescent="0.25">
      <c r="A13" s="17" t="s">
        <v>14</v>
      </c>
      <c r="B13" s="18">
        <v>5</v>
      </c>
      <c r="C13" s="19">
        <v>0</v>
      </c>
    </row>
    <row r="14" spans="1:3" x14ac:dyDescent="0.25">
      <c r="A14" s="17" t="s">
        <v>15</v>
      </c>
      <c r="B14" s="18">
        <v>5</v>
      </c>
      <c r="C14" s="19">
        <v>0</v>
      </c>
    </row>
    <row r="15" spans="1:3" x14ac:dyDescent="0.25">
      <c r="A15" s="17" t="s">
        <v>16</v>
      </c>
      <c r="B15" s="18">
        <v>5</v>
      </c>
      <c r="C15" s="19">
        <v>0</v>
      </c>
    </row>
    <row r="16" spans="1:3" x14ac:dyDescent="0.25">
      <c r="A16" s="17" t="s">
        <v>17</v>
      </c>
      <c r="B16" s="18">
        <v>5</v>
      </c>
      <c r="C16" s="19">
        <v>0</v>
      </c>
    </row>
    <row r="17" spans="1:3" x14ac:dyDescent="0.25">
      <c r="A17" s="17" t="s">
        <v>18</v>
      </c>
      <c r="B17" s="18">
        <v>20</v>
      </c>
      <c r="C17" s="19">
        <v>0</v>
      </c>
    </row>
    <row r="18" spans="1:3" x14ac:dyDescent="0.25">
      <c r="A18" s="17" t="s">
        <v>19</v>
      </c>
      <c r="B18" s="18">
        <v>20</v>
      </c>
      <c r="C18" s="19"/>
    </row>
    <row r="19" spans="1:3" x14ac:dyDescent="0.25">
      <c r="A19" s="17" t="s">
        <v>20</v>
      </c>
      <c r="B19" s="18">
        <v>30</v>
      </c>
      <c r="C19" s="19">
        <v>50</v>
      </c>
    </row>
    <row r="20" spans="1:3" x14ac:dyDescent="0.25">
      <c r="A20" s="17" t="s">
        <v>21</v>
      </c>
      <c r="B20" s="18">
        <v>50</v>
      </c>
      <c r="C20" s="19"/>
    </row>
    <row r="21" spans="1:3" ht="15.75" customHeight="1" x14ac:dyDescent="0.25">
      <c r="A21" s="17" t="s">
        <v>22</v>
      </c>
      <c r="B21" s="18">
        <v>30</v>
      </c>
      <c r="C21" s="19"/>
    </row>
    <row r="22" spans="1:3" ht="15.75" customHeight="1" x14ac:dyDescent="0.25">
      <c r="A22" s="17" t="s">
        <v>23</v>
      </c>
      <c r="B22" s="18">
        <v>20</v>
      </c>
      <c r="C22" s="19"/>
    </row>
    <row r="23" spans="1:3" ht="15.75" customHeight="1" x14ac:dyDescent="0.25">
      <c r="A23" s="17" t="s">
        <v>24</v>
      </c>
      <c r="B23" s="18">
        <v>20</v>
      </c>
      <c r="C23" s="19">
        <v>555</v>
      </c>
    </row>
    <row r="24" spans="1:3" ht="15.75" customHeight="1" x14ac:dyDescent="0.25">
      <c r="A24" s="17" t="s">
        <v>25</v>
      </c>
      <c r="B24" s="18">
        <v>20</v>
      </c>
      <c r="C24" s="19"/>
    </row>
    <row r="25" spans="1:3" ht="15.75" customHeight="1" x14ac:dyDescent="0.25">
      <c r="A25" s="17" t="s">
        <v>26</v>
      </c>
      <c r="B25" s="18">
        <v>20</v>
      </c>
      <c r="C25" s="19">
        <v>41</v>
      </c>
    </row>
    <row r="26" spans="1:3" ht="15.75" customHeight="1" x14ac:dyDescent="0.25">
      <c r="A26" s="17" t="s">
        <v>27</v>
      </c>
      <c r="B26" s="18">
        <v>20</v>
      </c>
      <c r="C26" s="19"/>
    </row>
    <row r="27" spans="1:3" ht="15.75" customHeight="1" x14ac:dyDescent="0.25">
      <c r="A27" s="17" t="s">
        <v>28</v>
      </c>
      <c r="B27" s="18">
        <v>20</v>
      </c>
      <c r="C27" s="19">
        <v>0</v>
      </c>
    </row>
    <row r="28" spans="1:3" ht="15.75" customHeight="1" x14ac:dyDescent="0.25">
      <c r="A28" s="17" t="s">
        <v>29</v>
      </c>
      <c r="B28" s="18">
        <v>30</v>
      </c>
      <c r="C28" s="19"/>
    </row>
    <row r="29" spans="1:3" ht="15.75" customHeight="1" x14ac:dyDescent="0.25">
      <c r="A29" s="17" t="s">
        <v>30</v>
      </c>
      <c r="B29" s="18">
        <v>20</v>
      </c>
      <c r="C29" s="19"/>
    </row>
    <row r="30" spans="1:3" ht="15.75" customHeight="1" x14ac:dyDescent="0.25">
      <c r="A30" s="17" t="s">
        <v>31</v>
      </c>
      <c r="B30" s="18">
        <v>20</v>
      </c>
      <c r="C30" s="19"/>
    </row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A10:C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📄 ઇન્વોઇસ</vt:lpstr>
      <vt:lpstr>📥 ઓર્ડર એન્ટ્રી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Barot</cp:lastModifiedBy>
  <dcterms:created xsi:type="dcterms:W3CDTF">2026-06-15T08:07:42Z</dcterms:created>
  <dcterms:modified xsi:type="dcterms:W3CDTF">2026-06-19T05:00:29Z</dcterms:modified>
</cp:coreProperties>
</file>